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datec-my.sharepoint.com/personal/cristian_coldea_campus_utcluj_ro/Documents/Documents/AET/transpApps_book25/"/>
    </mc:Choice>
  </mc:AlternateContent>
  <xr:revisionPtr revIDLastSave="311" documentId="8_{70F27C0C-CA9B-41AF-BBD5-6D8DFC44E521}" xr6:coauthVersionLast="47" xr6:coauthVersionMax="47" xr10:uidLastSave="{0E76035F-F06C-4FF8-B45D-9A1F1344805D}"/>
  <bookViews>
    <workbookView xWindow="-120" yWindow="-120" windowWidth="28800" windowHeight="12975" xr2:uid="{3AFEA1CA-BD14-461E-AD09-C1EC3EF11069}"/>
  </bookViews>
  <sheets>
    <sheet name="Sheet1" sheetId="1" r:id="rId1"/>
  </sheets>
  <definedNames>
    <definedName name="DecisionMakingVariables">Sheet1!$C$9:$F$11</definedName>
    <definedName name="Demand">Sheet1!$C$15:$F$15</definedName>
    <definedName name="Received">Sheet1!$C$13:$F$13</definedName>
    <definedName name="Sent">Sheet1!$H$9:$H$11</definedName>
    <definedName name="solver_adj" localSheetId="0" hidden="1">Sheet1!$C$9:$F$11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Sheet1!$C$13:$F$13</definedName>
    <definedName name="solver_lhs2" localSheetId="0" hidden="1">Sheet1!$H$9:$H$11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Sheet1!$J$15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Demand</definedName>
    <definedName name="solver_rhs2" localSheetId="0" hidden="1">Supply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Supply">Sheet1!$J$9:$J$11</definedName>
    <definedName name="TotalCost">Sheet1!$J$15</definedName>
    <definedName name="UnitCostMatrix">Sheet1!$C$3:$F$5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C13" i="1"/>
  <c r="J15" i="1"/>
  <c r="H10" i="1"/>
  <c r="H11" i="1"/>
  <c r="H9" i="1"/>
</calcChain>
</file>

<file path=xl/sharedStrings.xml><?xml version="1.0" encoding="utf-8"?>
<sst xmlns="http://schemas.openxmlformats.org/spreadsheetml/2006/main" count="38" uniqueCount="27">
  <si>
    <t>Unit cost matrix</t>
  </si>
  <si>
    <t>Sz</t>
  </si>
  <si>
    <t>Sb</t>
  </si>
  <si>
    <t>Wrw</t>
  </si>
  <si>
    <t>Mun</t>
  </si>
  <si>
    <t>Pis</t>
  </si>
  <si>
    <t>Al</t>
  </si>
  <si>
    <t>Tar</t>
  </si>
  <si>
    <t>https://www.excel-easy.com/examples/transportation-problem.html</t>
  </si>
  <si>
    <t>Decision making variables</t>
  </si>
  <si>
    <t>Sent</t>
  </si>
  <si>
    <t>Received</t>
  </si>
  <si>
    <t>Supply</t>
  </si>
  <si>
    <t>Demand</t>
  </si>
  <si>
    <t>Total cost</t>
  </si>
  <si>
    <t>Range Name</t>
  </si>
  <si>
    <t>Cells</t>
  </si>
  <si>
    <t>UnitCostMatrix</t>
  </si>
  <si>
    <t>DecisionMakingVariables</t>
  </si>
  <si>
    <t>TotalCost</t>
  </si>
  <si>
    <t>C3:F5</t>
  </si>
  <si>
    <t>C9:F11</t>
  </si>
  <si>
    <t>C13:F13</t>
  </si>
  <si>
    <t>J9:J11</t>
  </si>
  <si>
    <t>H9:H11</t>
  </si>
  <si>
    <t>C15:F15</t>
  </si>
  <si>
    <t>J15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</si>
</sst>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0" borderId="0" xfId="1"/>
    <xf numFmtId="0" fontId="0" fillId="4" borderId="0" xfId="0" applyFill="1"/>
    <xf numFmtId="0" fontId="0" fillId="0" borderId="1" xfId="0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xcel-easy.com/examples/transportation-proble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6D16-AF6E-4EF3-9E93-0105CDD8F118}">
  <dimension ref="B2:N15"/>
  <sheetViews>
    <sheetView tabSelected="1" workbookViewId="0">
      <selection activeCell="L2" sqref="L2:Q2"/>
    </sheetView>
  </sheetViews>
  <sheetFormatPr defaultRowHeight="15" x14ac:dyDescent="0.25"/>
  <cols>
    <col min="2" max="2" width="24.7109375" bestFit="1" customWidth="1"/>
    <col min="13" max="13" width="24" bestFit="1" customWidth="1"/>
  </cols>
  <sheetData>
    <row r="2" spans="2:14" x14ac:dyDescent="0.25">
      <c r="B2" s="2" t="s">
        <v>0</v>
      </c>
      <c r="C2" t="s">
        <v>4</v>
      </c>
      <c r="D2" t="s">
        <v>5</v>
      </c>
      <c r="E2" t="s">
        <v>6</v>
      </c>
      <c r="F2" t="s">
        <v>7</v>
      </c>
      <c r="J2" s="4"/>
      <c r="L2" s="4" t="s">
        <v>8</v>
      </c>
    </row>
    <row r="3" spans="2:14" x14ac:dyDescent="0.25">
      <c r="B3" t="s">
        <v>1</v>
      </c>
      <c r="C3" s="1">
        <v>1054</v>
      </c>
      <c r="D3" s="1">
        <v>1840</v>
      </c>
      <c r="E3" s="1">
        <v>2867</v>
      </c>
      <c r="F3" s="1">
        <v>4271</v>
      </c>
    </row>
    <row r="4" spans="2:14" x14ac:dyDescent="0.25">
      <c r="B4" t="s">
        <v>2</v>
      </c>
      <c r="C4" s="1">
        <v>1824</v>
      </c>
      <c r="D4" s="1">
        <v>2705</v>
      </c>
      <c r="E4" s="1">
        <v>3604</v>
      </c>
      <c r="F4" s="1">
        <v>4857</v>
      </c>
    </row>
    <row r="5" spans="2:14" x14ac:dyDescent="0.25">
      <c r="B5" t="s">
        <v>3</v>
      </c>
      <c r="C5" s="1">
        <v>1494</v>
      </c>
      <c r="D5" s="1">
        <v>2484</v>
      </c>
      <c r="E5" s="1">
        <v>2788</v>
      </c>
      <c r="F5" s="1">
        <v>4514</v>
      </c>
    </row>
    <row r="6" spans="2:14" x14ac:dyDescent="0.25">
      <c r="M6" s="7" t="s">
        <v>15</v>
      </c>
      <c r="N6" s="7" t="s">
        <v>16</v>
      </c>
    </row>
    <row r="7" spans="2:14" x14ac:dyDescent="0.25">
      <c r="M7" s="6" t="s">
        <v>17</v>
      </c>
      <c r="N7" s="6" t="s">
        <v>20</v>
      </c>
    </row>
    <row r="8" spans="2:14" x14ac:dyDescent="0.25">
      <c r="B8" s="2" t="s">
        <v>9</v>
      </c>
      <c r="C8" t="s">
        <v>4</v>
      </c>
      <c r="D8" t="s">
        <v>5</v>
      </c>
      <c r="E8" t="s">
        <v>6</v>
      </c>
      <c r="F8" t="s">
        <v>7</v>
      </c>
      <c r="H8" s="2" t="s">
        <v>10</v>
      </c>
      <c r="J8" s="2" t="s">
        <v>12</v>
      </c>
      <c r="M8" s="6" t="s">
        <v>18</v>
      </c>
      <c r="N8" s="6" t="s">
        <v>21</v>
      </c>
    </row>
    <row r="9" spans="2:14" x14ac:dyDescent="0.25">
      <c r="B9" t="s">
        <v>1</v>
      </c>
      <c r="C9" s="3">
        <v>0</v>
      </c>
      <c r="D9" s="3">
        <v>44</v>
      </c>
      <c r="E9" s="3">
        <v>0</v>
      </c>
      <c r="F9" s="3">
        <v>0</v>
      </c>
      <c r="H9">
        <f>SUM(C9:F9)</f>
        <v>44</v>
      </c>
      <c r="J9" s="5">
        <v>44</v>
      </c>
      <c r="M9" s="6" t="s">
        <v>10</v>
      </c>
      <c r="N9" s="6" t="s">
        <v>24</v>
      </c>
    </row>
    <row r="10" spans="2:14" x14ac:dyDescent="0.25">
      <c r="B10" t="s">
        <v>2</v>
      </c>
      <c r="C10" s="3">
        <v>34</v>
      </c>
      <c r="D10" s="3">
        <v>2</v>
      </c>
      <c r="E10" s="3">
        <v>0</v>
      </c>
      <c r="F10" s="3">
        <v>0</v>
      </c>
      <c r="H10">
        <f t="shared" ref="H10:H11" si="0">SUM(C10:F10)</f>
        <v>36</v>
      </c>
      <c r="J10" s="5">
        <v>36</v>
      </c>
      <c r="M10" s="6" t="s">
        <v>11</v>
      </c>
      <c r="N10" s="6" t="s">
        <v>22</v>
      </c>
    </row>
    <row r="11" spans="2:14" x14ac:dyDescent="0.25">
      <c r="B11" t="s">
        <v>3</v>
      </c>
      <c r="C11" s="3">
        <v>18</v>
      </c>
      <c r="D11" s="3">
        <v>0</v>
      </c>
      <c r="E11" s="3">
        <v>48</v>
      </c>
      <c r="F11" s="3">
        <v>39</v>
      </c>
      <c r="H11">
        <f t="shared" si="0"/>
        <v>105</v>
      </c>
      <c r="J11" s="5">
        <v>105</v>
      </c>
      <c r="M11" s="6" t="s">
        <v>12</v>
      </c>
      <c r="N11" s="6" t="s">
        <v>23</v>
      </c>
    </row>
    <row r="12" spans="2:14" x14ac:dyDescent="0.25">
      <c r="M12" s="6" t="s">
        <v>13</v>
      </c>
      <c r="N12" s="6" t="s">
        <v>25</v>
      </c>
    </row>
    <row r="13" spans="2:14" x14ac:dyDescent="0.25">
      <c r="B13" s="2" t="s">
        <v>11</v>
      </c>
      <c r="C13">
        <f>SUM(C9:C11)</f>
        <v>52</v>
      </c>
      <c r="D13">
        <f t="shared" ref="D13:F13" si="1">SUM(D9:D11)</f>
        <v>46</v>
      </c>
      <c r="E13">
        <f t="shared" si="1"/>
        <v>48</v>
      </c>
      <c r="F13">
        <f t="shared" si="1"/>
        <v>39</v>
      </c>
      <c r="M13" s="6" t="s">
        <v>19</v>
      </c>
      <c r="N13" s="6" t="s">
        <v>26</v>
      </c>
    </row>
    <row r="14" spans="2:14" x14ac:dyDescent="0.25">
      <c r="J14" s="2" t="s">
        <v>14</v>
      </c>
    </row>
    <row r="15" spans="2:14" x14ac:dyDescent="0.25">
      <c r="B15" s="2" t="s">
        <v>13</v>
      </c>
      <c r="C15" s="5">
        <v>52</v>
      </c>
      <c r="D15" s="5">
        <v>46</v>
      </c>
      <c r="E15" s="5">
        <v>48</v>
      </c>
      <c r="F15" s="5">
        <v>39</v>
      </c>
      <c r="J15" s="2">
        <f>SUMPRODUCT(C3:F5,C9:F11)</f>
        <v>485148</v>
      </c>
    </row>
  </sheetData>
  <hyperlinks>
    <hyperlink ref="L2" r:id="rId1" xr:uid="{5AF3F92E-8843-471B-BAF9-10AE61A14BC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DecisionMakingVariables</vt:lpstr>
      <vt:lpstr>Demand</vt:lpstr>
      <vt:lpstr>Received</vt:lpstr>
      <vt:lpstr>Sent</vt:lpstr>
      <vt:lpstr>Supply</vt:lpstr>
      <vt:lpstr>TotalCost</vt:lpstr>
      <vt:lpstr>UnitCostMatrix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Coldea</dc:creator>
  <cp:lastModifiedBy>Cristian Coldea</cp:lastModifiedBy>
  <dcterms:created xsi:type="dcterms:W3CDTF">2026-03-09T06:16:46Z</dcterms:created>
  <dcterms:modified xsi:type="dcterms:W3CDTF">2026-03-17T12:33:24Z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2026-03-09T06:20:25Z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bd7d5bc6-e4b2-47ff-b35f-ae147a041594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